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Trusted Macros\"/>
    </mc:Choice>
  </mc:AlternateContent>
  <xr:revisionPtr revIDLastSave="0" documentId="13_ncr:1_{02A8FA07-D5C2-418E-A290-8B7001C59BC7}" xr6:coauthVersionLast="47" xr6:coauthVersionMax="47" xr10:uidLastSave="{00000000-0000-0000-0000-000000000000}"/>
  <bookViews>
    <workbookView xWindow="-108" yWindow="-108" windowWidth="23256" windowHeight="12576" xr2:uid="{C86524EC-ABE7-4025-933D-9E419800E603}"/>
  </bookViews>
  <sheets>
    <sheet name="CHR Data" sheetId="1" r:id="rId1"/>
    <sheet name="REFERENCES -- DONT CHANG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</calcChain>
</file>

<file path=xl/sharedStrings.xml><?xml version="1.0" encoding="utf-8"?>
<sst xmlns="http://schemas.openxmlformats.org/spreadsheetml/2006/main" count="85" uniqueCount="78">
  <si>
    <t>CHR ID</t>
  </si>
  <si>
    <t>CHR Email</t>
  </si>
  <si>
    <t>Client ID</t>
  </si>
  <si>
    <t>Date of Referral</t>
  </si>
  <si>
    <t>Follow-Up Attempt Date</t>
  </si>
  <si>
    <t>Comments</t>
  </si>
  <si>
    <r>
      <t xml:space="preserve">Result of Follow Up
</t>
    </r>
    <r>
      <rPr>
        <b/>
        <i/>
        <sz val="10"/>
        <color theme="1"/>
        <rFont val="Arial"/>
        <family val="2"/>
      </rPr>
      <t>Referral Completed /Referral Not-Completed / Could not reach</t>
    </r>
  </si>
  <si>
    <t>PCC Category</t>
  </si>
  <si>
    <t>CHR Tracking Referral Categories</t>
  </si>
  <si>
    <t>CDC Category</t>
  </si>
  <si>
    <t>Referral Received (From outside CHR)</t>
  </si>
  <si>
    <t>Referral Made (By CHR)</t>
  </si>
  <si>
    <t>PCC</t>
  </si>
  <si>
    <t>CHR REFERRAL CATEGORIES</t>
  </si>
  <si>
    <t>CDC CATEGORIES</t>
  </si>
  <si>
    <t>Medical</t>
  </si>
  <si>
    <t>Non-emergency medical transportation</t>
  </si>
  <si>
    <t>2-HC. Hypertension management</t>
  </si>
  <si>
    <t>Nursing</t>
  </si>
  <si>
    <t>Durable Medical Equipment</t>
  </si>
  <si>
    <t>3-HC. Diabetes management </t>
  </si>
  <si>
    <t>Dental</t>
  </si>
  <si>
    <t>Housing (e.g.rental, ownership, safety/disability improvement)</t>
  </si>
  <si>
    <t>6-HC. Maternal/child health</t>
  </si>
  <si>
    <t>Eye</t>
  </si>
  <si>
    <t>Utility Assistance (e.g.LIHEAP)</t>
  </si>
  <si>
    <t>7-HC. Improving physical activity</t>
  </si>
  <si>
    <t>Social Work</t>
  </si>
  <si>
    <t>Household needs (e.g. firewood, household items or clothing)</t>
  </si>
  <si>
    <t>9-HC. Mental health and addictions </t>
  </si>
  <si>
    <t>Behavioral Health</t>
  </si>
  <si>
    <t>Environmental protection (e.g.animal clinics, RMSF,sanitation)</t>
  </si>
  <si>
    <t>10-HC. Other-write-in response</t>
  </si>
  <si>
    <t>Other Professional</t>
  </si>
  <si>
    <t>Senior Services (e.g.social,Alzheimer's, protection)</t>
  </si>
  <si>
    <t>1-SS. Housing and shelter -including Home Energy Assistance LIHEAP</t>
  </si>
  <si>
    <t>Technician</t>
  </si>
  <si>
    <t>Special Diabetes Program (SDPI)</t>
  </si>
  <si>
    <t>2-SS. Food -including food banks, SNAP, WIC</t>
  </si>
  <si>
    <t>Transportation</t>
  </si>
  <si>
    <t>Cancer Services</t>
  </si>
  <si>
    <t>3-SS. Employment and income</t>
  </si>
  <si>
    <t>DME</t>
  </si>
  <si>
    <t>Healthy Heart Program</t>
  </si>
  <si>
    <t>5-SS. Childcare and parenting</t>
  </si>
  <si>
    <t>Housing &amp; Environmental Services</t>
  </si>
  <si>
    <t>Wellness/Fitness Center</t>
  </si>
  <si>
    <t>6-SS. Government and legal</t>
  </si>
  <si>
    <t>Wellness, Prevention &amp; Chronic Disease</t>
  </si>
  <si>
    <t>COVID support (including long COVID)</t>
  </si>
  <si>
    <t>7-SS. Other-write-in response</t>
  </si>
  <si>
    <t>Maternal and Child Health</t>
  </si>
  <si>
    <t>Violence Prevention (e.g.shelter)</t>
  </si>
  <si>
    <t>N/A</t>
  </si>
  <si>
    <t>Benefits and Financial Support</t>
  </si>
  <si>
    <t>Early Childhood (e.g. Family Spirit,Head Start, Healthy Start, First Things First)</t>
  </si>
  <si>
    <t>Family,Self,Community</t>
  </si>
  <si>
    <t>WIC(Women,Infants &amp; Children)</t>
  </si>
  <si>
    <t>CHR</t>
  </si>
  <si>
    <t>Child Protection</t>
  </si>
  <si>
    <t>OTHER(Write-in)</t>
  </si>
  <si>
    <t>Car Seat Services</t>
  </si>
  <si>
    <t>Employment Assistance (e.g.training, unemployment,vocational rehabilitation)</t>
  </si>
  <si>
    <t>Food or Nutrition Assistance (e.g.SNAP,WIC,FDPIR,food bank)</t>
  </si>
  <si>
    <t>Cash Assistance (e.g. TANF,TPEP,other)</t>
  </si>
  <si>
    <t>Health insurance enrollment (e.g. AHCCCS,ALTCS,Patient Referred Care)</t>
  </si>
  <si>
    <t>Disability services</t>
  </si>
  <si>
    <t>Legal services</t>
  </si>
  <si>
    <t>Includes walk-in cases where the patient seeks CHR care without recommendation from other health care personnel. Includes cases that the CHR found because of community or family member's suggestion.</t>
  </si>
  <si>
    <t>From your own CHR program or from another CHR program.</t>
  </si>
  <si>
    <t>CHR1</t>
  </si>
  <si>
    <t>sb3292@nau.edu</t>
  </si>
  <si>
    <t>Client1</t>
  </si>
  <si>
    <t>Referral Completed</t>
  </si>
  <si>
    <t>CHR2</t>
  </si>
  <si>
    <t>shreyar0903@gmail.com</t>
  </si>
  <si>
    <t>Client2</t>
  </si>
  <si>
    <t>Record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</si>
</sst>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9DAF8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wrapText="1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1" fillId="4" borderId="0" xfId="0" applyFont="1" applyFill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 wrapText="1"/>
    </xf>
    <xf numFmtId="0" fontId="5" fillId="0" borderId="0" xfId="1" applyAlignment="1">
      <alignment wrapText="1"/>
    </xf>
    <xf numFmtId="14" fontId="0" fillId="0" borderId="0" xfId="0" applyNumberFormat="1" applyAlignment="1">
      <alignment wrapText="1"/>
    </xf>
    <xf numFmtId="14" fontId="2" fillId="2" borderId="1" xfId="0" applyNumberFormat="1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shreyar0903@gmail.com" TargetMode="External"/><Relationship Id="rId1" Type="http://schemas.openxmlformats.org/officeDocument/2006/relationships/hyperlink" Target="mailto:sb3292@nau.ed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BAD52-A92A-4C42-855D-CE54024BCB39}">
  <sheetPr codeName="Sheet1"/>
  <dimension ref="A1:AC17"/>
  <sheetViews>
    <sheetView tabSelected="1" zoomScale="90"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15.109375" style="1" customWidth="1"/>
    <col min="2" max="2" width="21.109375" style="1" customWidth="1"/>
    <col min="3" max="3" width="14" style="1" customWidth="1"/>
    <col min="4" max="4" width="14.109375" style="8" customWidth="1"/>
    <col min="5" max="5" width="15" style="1" customWidth="1"/>
    <col min="6" max="6" width="16.44140625" style="1" customWidth="1"/>
    <col min="7" max="7" width="15.109375" style="1" customWidth="1"/>
    <col min="8" max="9" width="15.44140625" style="1" customWidth="1"/>
    <col min="10" max="10" width="16.77734375" style="8" customWidth="1"/>
    <col min="11" max="12" width="21.88671875" style="1" customWidth="1"/>
    <col min="13" max="13" width="15.44140625" style="1" customWidth="1"/>
  </cols>
  <sheetData>
    <row r="1" spans="1:29" ht="66.599999999999994" thickBot="1" x14ac:dyDescent="0.35">
      <c r="A1" s="2" t="s">
        <v>0</v>
      </c>
      <c r="B1" s="2" t="s">
        <v>1</v>
      </c>
      <c r="C1" s="2" t="s">
        <v>2</v>
      </c>
      <c r="D1" s="9" t="s">
        <v>3</v>
      </c>
      <c r="E1" s="2" t="s">
        <v>7</v>
      </c>
      <c r="F1" s="2" t="s">
        <v>8</v>
      </c>
      <c r="G1" s="2" t="s">
        <v>9</v>
      </c>
      <c r="H1" s="2" t="s">
        <v>10</v>
      </c>
      <c r="I1" s="2" t="s">
        <v>11</v>
      </c>
      <c r="J1" s="6" t="s">
        <v>4</v>
      </c>
      <c r="K1" s="3" t="s">
        <v>6</v>
      </c>
      <c r="L1" s="3" t="s">
        <v>77</v>
      </c>
      <c r="M1" s="2" t="s">
        <v>5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spans="1:29" ht="43.2" x14ac:dyDescent="0.3">
      <c r="A2" s="1" t="s">
        <v>70</v>
      </c>
      <c r="B2" s="7" t="s">
        <v>71</v>
      </c>
      <c r="C2" s="1" t="s">
        <v>72</v>
      </c>
      <c r="D2" s="8">
        <v>44981</v>
      </c>
      <c r="E2" s="1" t="s">
        <v>39</v>
      </c>
      <c r="F2" s="1" t="s">
        <v>16</v>
      </c>
      <c r="G2" s="1" t="s">
        <v>32</v>
      </c>
      <c r="H2" s="1">
        <v>2</v>
      </c>
      <c r="I2" s="1">
        <v>1</v>
      </c>
      <c r="J2" s="8">
        <f ca="1">IF(K2&lt;&gt;"",TODAY(),"")</f>
        <v>44991</v>
      </c>
      <c r="K2" s="1" t="s">
        <v>73</v>
      </c>
    </row>
    <row r="3" spans="1:29" ht="28.8" x14ac:dyDescent="0.3">
      <c r="A3" s="1" t="s">
        <v>74</v>
      </c>
      <c r="B3" s="7" t="s">
        <v>75</v>
      </c>
      <c r="C3" s="1" t="s">
        <v>76</v>
      </c>
      <c r="D3" s="8">
        <v>44984</v>
      </c>
      <c r="E3" s="1" t="s">
        <v>24</v>
      </c>
      <c r="F3" s="1" t="s">
        <v>53</v>
      </c>
      <c r="G3" s="1" t="s">
        <v>53</v>
      </c>
      <c r="H3" s="1">
        <v>3</v>
      </c>
      <c r="I3" s="1">
        <v>2</v>
      </c>
      <c r="J3" s="8" t="str">
        <f t="shared" ref="J3:J17" ca="1" si="0">IF(K3&lt;&gt;"",TODAY(),"")</f>
        <v/>
      </c>
    </row>
    <row r="4" spans="1:29" x14ac:dyDescent="0.3">
      <c r="J4" s="8" t="str">
        <f t="shared" ca="1" si="0"/>
        <v/>
      </c>
    </row>
    <row r="5" spans="1:29" x14ac:dyDescent="0.3">
      <c r="J5" s="8" t="str">
        <f t="shared" ca="1" si="0"/>
        <v/>
      </c>
    </row>
    <row r="6" spans="1:29" x14ac:dyDescent="0.3">
      <c r="J6" s="8" t="str">
        <f t="shared" ca="1" si="0"/>
        <v/>
      </c>
    </row>
    <row r="7" spans="1:29" x14ac:dyDescent="0.3">
      <c r="J7" s="8" t="str">
        <f t="shared" ca="1" si="0"/>
        <v/>
      </c>
    </row>
    <row r="8" spans="1:29" x14ac:dyDescent="0.3">
      <c r="J8" s="8" t="str">
        <f t="shared" ca="1" si="0"/>
        <v/>
      </c>
    </row>
    <row r="9" spans="1:29" x14ac:dyDescent="0.3">
      <c r="J9" s="8" t="str">
        <f t="shared" ca="1" si="0"/>
        <v/>
      </c>
    </row>
    <row r="10" spans="1:29" x14ac:dyDescent="0.3">
      <c r="J10" s="8" t="str">
        <f t="shared" ca="1" si="0"/>
        <v/>
      </c>
    </row>
    <row r="11" spans="1:29" x14ac:dyDescent="0.3">
      <c r="J11" s="8" t="str">
        <f t="shared" ca="1" si="0"/>
        <v/>
      </c>
    </row>
    <row r="12" spans="1:29" x14ac:dyDescent="0.3">
      <c r="J12" s="8" t="str">
        <f t="shared" ca="1" si="0"/>
        <v/>
      </c>
    </row>
    <row r="13" spans="1:29" x14ac:dyDescent="0.3">
      <c r="J13" s="8" t="str">
        <f t="shared" ca="1" si="0"/>
        <v/>
      </c>
    </row>
    <row r="14" spans="1:29" x14ac:dyDescent="0.3">
      <c r="J14" s="8" t="str">
        <f t="shared" ca="1" si="0"/>
        <v/>
      </c>
    </row>
    <row r="15" spans="1:29" x14ac:dyDescent="0.3">
      <c r="J15" s="8" t="str">
        <f t="shared" ca="1" si="0"/>
        <v/>
      </c>
    </row>
    <row r="16" spans="1:29" x14ac:dyDescent="0.3">
      <c r="J16" s="8" t="str">
        <f t="shared" ca="1" si="0"/>
        <v/>
      </c>
    </row>
    <row r="17" spans="10:10" x14ac:dyDescent="0.3">
      <c r="J17" s="8" t="str">
        <f t="shared" ca="1" si="0"/>
        <v/>
      </c>
    </row>
  </sheetData>
  <hyperlinks>
    <hyperlink ref="B2" r:id="rId1" xr:uid="{37450CEC-0AD2-46E1-A3EE-72B3A52AE3B1}"/>
    <hyperlink ref="B3" r:id="rId2" xr:uid="{CB4AB7A0-AEE7-410B-8135-B75703115E82}"/>
  </hyperlinks>
  <pageMargins left="0.7" right="0.7" top="0.75" bottom="0.75" header="0.3" footer="0.3"/>
  <pageSetup orientation="portrait"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BB3F114D-8031-4A81-B829-4E9361D573B3}">
          <x14:formula1>
            <xm:f>'REFERENCES -- DONT CHANGE'!$B$4:$B$20</xm:f>
          </x14:formula1>
          <xm:sqref>E2:E1048576</xm:sqref>
        </x14:dataValidation>
        <x14:dataValidation type="list" allowBlank="1" showInputMessage="1" xr:uid="{53B8933F-615B-478D-A892-E1E5432B2E04}">
          <x14:formula1>
            <xm:f>'REFERENCES -- DONT CHANGE'!$D$4:$D$29</xm:f>
          </x14:formula1>
          <xm:sqref>F2:F1048576</xm:sqref>
        </x14:dataValidation>
        <x14:dataValidation type="list" allowBlank="1" showInputMessage="1" xr:uid="{D53750CC-CB9B-4A3E-9921-20794A910AFD}">
          <x14:formula1>
            <xm:f>'REFERENCES -- DONT CHANGE'!$F$4:$F$16</xm:f>
          </x14:formula1>
          <xm:sqref>G2:G1048576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A2EAC-B354-40ED-BE1B-C45919245028}">
  <sheetPr codeName="Sheet2"/>
  <dimension ref="B2:F29"/>
  <sheetViews>
    <sheetView workbookViewId="0">
      <selection activeCell="D11" sqref="D11"/>
    </sheetView>
  </sheetViews>
  <sheetFormatPr defaultRowHeight="14.4" x14ac:dyDescent="0.3"/>
  <cols>
    <col min="2" max="2" width="33.44140625" style="1" customWidth="1"/>
    <col min="4" max="4" width="52.77734375" customWidth="1"/>
    <col min="6" max="6" width="36.6640625" customWidth="1"/>
  </cols>
  <sheetData>
    <row r="2" spans="2:6" x14ac:dyDescent="0.3">
      <c r="B2" s="5" t="s">
        <v>12</v>
      </c>
      <c r="D2" s="5" t="s">
        <v>13</v>
      </c>
      <c r="F2" s="5" t="s">
        <v>14</v>
      </c>
    </row>
    <row r="4" spans="2:6" x14ac:dyDescent="0.3">
      <c r="B4" s="1" t="s">
        <v>15</v>
      </c>
      <c r="D4" s="1" t="s">
        <v>16</v>
      </c>
      <c r="F4" s="1" t="s">
        <v>17</v>
      </c>
    </row>
    <row r="5" spans="2:6" x14ac:dyDescent="0.3">
      <c r="B5" s="1" t="s">
        <v>18</v>
      </c>
      <c r="D5" s="1" t="s">
        <v>19</v>
      </c>
      <c r="F5" s="1" t="s">
        <v>20</v>
      </c>
    </row>
    <row r="6" spans="2:6" x14ac:dyDescent="0.3">
      <c r="B6" s="1" t="s">
        <v>21</v>
      </c>
      <c r="D6" s="1" t="s">
        <v>22</v>
      </c>
      <c r="F6" s="1" t="s">
        <v>23</v>
      </c>
    </row>
    <row r="7" spans="2:6" x14ac:dyDescent="0.3">
      <c r="B7" s="1" t="s">
        <v>24</v>
      </c>
      <c r="D7" s="1" t="s">
        <v>25</v>
      </c>
      <c r="F7" s="1" t="s">
        <v>26</v>
      </c>
    </row>
    <row r="8" spans="2:6" x14ac:dyDescent="0.3">
      <c r="B8" s="1" t="s">
        <v>27</v>
      </c>
      <c r="D8" s="1" t="s">
        <v>28</v>
      </c>
      <c r="F8" s="1" t="s">
        <v>29</v>
      </c>
    </row>
    <row r="9" spans="2:6" x14ac:dyDescent="0.3">
      <c r="B9" s="1" t="s">
        <v>30</v>
      </c>
      <c r="D9" s="1" t="s">
        <v>31</v>
      </c>
      <c r="F9" s="1" t="s">
        <v>32</v>
      </c>
    </row>
    <row r="10" spans="2:6" ht="28.8" x14ac:dyDescent="0.3">
      <c r="B10" s="1" t="s">
        <v>33</v>
      </c>
      <c r="D10" s="1" t="s">
        <v>34</v>
      </c>
      <c r="F10" s="1" t="s">
        <v>35</v>
      </c>
    </row>
    <row r="11" spans="2:6" ht="28.8" x14ac:dyDescent="0.3">
      <c r="B11" s="1" t="s">
        <v>36</v>
      </c>
      <c r="D11" s="1" t="s">
        <v>37</v>
      </c>
      <c r="F11" s="1" t="s">
        <v>38</v>
      </c>
    </row>
    <row r="12" spans="2:6" x14ac:dyDescent="0.3">
      <c r="B12" s="1" t="s">
        <v>39</v>
      </c>
      <c r="D12" s="1" t="s">
        <v>40</v>
      </c>
      <c r="F12" s="1" t="s">
        <v>41</v>
      </c>
    </row>
    <row r="13" spans="2:6" x14ac:dyDescent="0.3">
      <c r="B13" s="1" t="s">
        <v>42</v>
      </c>
      <c r="D13" s="1" t="s">
        <v>43</v>
      </c>
      <c r="F13" s="1" t="s">
        <v>44</v>
      </c>
    </row>
    <row r="14" spans="2:6" x14ac:dyDescent="0.3">
      <c r="B14" s="1" t="s">
        <v>45</v>
      </c>
      <c r="D14" s="1" t="s">
        <v>46</v>
      </c>
      <c r="F14" s="1" t="s">
        <v>47</v>
      </c>
    </row>
    <row r="15" spans="2:6" ht="28.8" x14ac:dyDescent="0.3">
      <c r="B15" s="1" t="s">
        <v>48</v>
      </c>
      <c r="D15" s="1" t="s">
        <v>49</v>
      </c>
      <c r="F15" s="1" t="s">
        <v>50</v>
      </c>
    </row>
    <row r="16" spans="2:6" x14ac:dyDescent="0.3">
      <c r="B16" s="1" t="s">
        <v>51</v>
      </c>
      <c r="D16" s="1" t="s">
        <v>52</v>
      </c>
      <c r="F16" s="1" t="s">
        <v>53</v>
      </c>
    </row>
    <row r="17" spans="2:4" ht="28.8" x14ac:dyDescent="0.3">
      <c r="B17" s="1" t="s">
        <v>54</v>
      </c>
      <c r="D17" s="1" t="s">
        <v>55</v>
      </c>
    </row>
    <row r="18" spans="2:4" x14ac:dyDescent="0.3">
      <c r="B18" s="1" t="s">
        <v>56</v>
      </c>
      <c r="D18" s="1" t="s">
        <v>57</v>
      </c>
    </row>
    <row r="19" spans="2:4" x14ac:dyDescent="0.3">
      <c r="B19" s="1" t="s">
        <v>58</v>
      </c>
      <c r="D19" s="1" t="s">
        <v>59</v>
      </c>
    </row>
    <row r="20" spans="2:4" x14ac:dyDescent="0.3">
      <c r="B20" s="1" t="s">
        <v>60</v>
      </c>
      <c r="D20" s="1" t="s">
        <v>61</v>
      </c>
    </row>
    <row r="21" spans="2:4" ht="28.8" x14ac:dyDescent="0.3">
      <c r="D21" s="1" t="s">
        <v>62</v>
      </c>
    </row>
    <row r="22" spans="2:4" x14ac:dyDescent="0.3">
      <c r="D22" s="1" t="s">
        <v>63</v>
      </c>
    </row>
    <row r="23" spans="2:4" x14ac:dyDescent="0.3">
      <c r="D23" s="1" t="s">
        <v>64</v>
      </c>
    </row>
    <row r="24" spans="2:4" ht="28.8" x14ac:dyDescent="0.3">
      <c r="D24" s="1" t="s">
        <v>65</v>
      </c>
    </row>
    <row r="25" spans="2:4" x14ac:dyDescent="0.3">
      <c r="D25" s="1" t="s">
        <v>66</v>
      </c>
    </row>
    <row r="26" spans="2:4" x14ac:dyDescent="0.3">
      <c r="D26" s="1" t="s">
        <v>67</v>
      </c>
    </row>
    <row r="27" spans="2:4" ht="57.6" x14ac:dyDescent="0.3">
      <c r="D27" s="1" t="s">
        <v>68</v>
      </c>
    </row>
    <row r="28" spans="2:4" x14ac:dyDescent="0.3">
      <c r="D28" s="1" t="s">
        <v>69</v>
      </c>
    </row>
    <row r="29" spans="2:4" x14ac:dyDescent="0.3">
      <c r="D29" s="1" t="s">
        <v>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CHR Data</vt:lpstr>
      <vt:lpstr>REFERENCES -- DONT CHANGE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Shreya Balasubramanya Raju</dc:creator>
  <cp:lastModifiedBy>Shreya Balasubramanya Raju</cp:lastModifiedBy>
  <dcterms:created xsi:type="dcterms:W3CDTF">2023-02-24T19:24:21Z</dcterms:created>
  <dcterms:modified xsi:type="dcterms:W3CDTF">2023-03-06T21:00:33Z</dcterms:modified>
</cp:coreProperties>
</file>